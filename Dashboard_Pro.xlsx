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onardoPC\Documents\2026\Excel\"/>
    </mc:Choice>
  </mc:AlternateContent>
  <xr:revisionPtr revIDLastSave="0" documentId="13_ncr:1_{FB78A1AF-18D2-4780-9BC7-C5B8340E8C62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Hoja5" sheetId="1" r:id="rId1"/>
    <sheet name="Hoja1" sheetId="2" r:id="rId2"/>
    <sheet name="Hoja2" sheetId="3" r:id="rId3"/>
    <sheet name="Hoja3" sheetId="4" r:id="rId4"/>
    <sheet name="Hoja4" sheetId="5" r:id="rId5"/>
    <sheet name="Dashboard_Pro" sheetId="6" r:id="rId6"/>
    <sheet name="Matriz_de_Riesgos" sheetId="7" r:id="rId7"/>
  </sheets>
  <definedNames>
    <definedName name="SegmentaciónDeDatos_Tipo_Riesgo">#N/A</definedName>
    <definedName name="SegmentaciónDeDatos_Tipo_Riesgo1">#N/A</definedName>
  </definedNames>
  <calcPr calcId="181029"/>
  <pivotCaches>
    <pivotCache cacheId="0" r:id="rId8"/>
  </pivotCaches>
  <extLst>
    <ext xmlns:x14="http://schemas.microsoft.com/office/spreadsheetml/2009/9/main" uri="{876F7934-8845-4945-9796-88D515C7AA90}">
      <x14:pivotCaches>
        <pivotCache cacheId="1" r:id="rId9"/>
      </x14:pivotCaches>
    </ex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G6" i="7" l="1"/>
  <c r="G3" i="7"/>
  <c r="G4" i="7"/>
  <c r="G2" i="7"/>
  <c r="F3" i="7"/>
  <c r="F4" i="7"/>
  <c r="F5" i="7"/>
  <c r="G5" i="7" s="1"/>
  <c r="B13" i="7" s="1"/>
  <c r="F6" i="7"/>
  <c r="F2" i="7"/>
  <c r="B6" i="6"/>
  <c r="B7" i="6"/>
  <c r="B5" i="6"/>
  <c r="B4" i="6"/>
  <c r="B3" i="6"/>
  <c r="E4" i="5"/>
  <c r="B11" i="7" l="1"/>
  <c r="B10" i="7"/>
  <c r="B12" i="7"/>
</calcChain>
</file>

<file path=xl/sharedStrings.xml><?xml version="1.0" encoding="utf-8"?>
<sst xmlns="http://schemas.openxmlformats.org/spreadsheetml/2006/main" count="282" uniqueCount="76">
  <si>
    <t>Base de Datos</t>
  </si>
  <si>
    <t>ID</t>
  </si>
  <si>
    <t>Fecha</t>
  </si>
  <si>
    <t>Sector</t>
  </si>
  <si>
    <t>Tipo_Riesgo</t>
  </si>
  <si>
    <t>Nivel_Riesgos</t>
  </si>
  <si>
    <t>Accidentes (Sí/No)</t>
  </si>
  <si>
    <t>Tipo_Lesion</t>
  </si>
  <si>
    <t>Dias_Perdidos</t>
  </si>
  <si>
    <t>Costos</t>
  </si>
  <si>
    <t>Gravedad</t>
  </si>
  <si>
    <t>Administración</t>
  </si>
  <si>
    <t>R. Psicosocial</t>
  </si>
  <si>
    <t>Trivial</t>
  </si>
  <si>
    <t>No</t>
  </si>
  <si>
    <t>S/L (Sin lesión)</t>
  </si>
  <si>
    <t>Leve</t>
  </si>
  <si>
    <t>Producción</t>
  </si>
  <si>
    <t>R. Físicos</t>
  </si>
  <si>
    <t>Importante</t>
  </si>
  <si>
    <t>Sí</t>
  </si>
  <si>
    <t>Lesión Grave</t>
  </si>
  <si>
    <t>9 meses</t>
  </si>
  <si>
    <t>Grave</t>
  </si>
  <si>
    <t>Depósito</t>
  </si>
  <si>
    <t>R. Mecánico</t>
  </si>
  <si>
    <t>Moderado</t>
  </si>
  <si>
    <t>Lesión Moderada</t>
  </si>
  <si>
    <t>1 día</t>
  </si>
  <si>
    <t>Moderada</t>
  </si>
  <si>
    <t>Depto. Mant.</t>
  </si>
  <si>
    <t>R. Ergonómico</t>
  </si>
  <si>
    <t>Lesión Leve</t>
  </si>
  <si>
    <t>Depto. HyS.</t>
  </si>
  <si>
    <t>R. Físico</t>
  </si>
  <si>
    <t>1 Semana</t>
  </si>
  <si>
    <t>5 días</t>
  </si>
  <si>
    <t>1 semana</t>
  </si>
  <si>
    <t>Lesión Triviala</t>
  </si>
  <si>
    <t>Depto. RRHH.</t>
  </si>
  <si>
    <t>Depto. Contable</t>
  </si>
  <si>
    <t>Lesión Trivial</t>
  </si>
  <si>
    <t>R. Químico</t>
  </si>
  <si>
    <t>2 semanas</t>
  </si>
  <si>
    <t>Etiquetas de fila</t>
  </si>
  <si>
    <t>Cuenta de ID</t>
  </si>
  <si>
    <t>Total general</t>
  </si>
  <si>
    <t>Suma de Costos</t>
  </si>
  <si>
    <t>SISTEMA DE CONTROL Y MONITOREO DE SEGURIDAD E HIGIENE</t>
  </si>
  <si>
    <t>COSTO TOTAL SINIESTRALIDAD</t>
  </si>
  <si>
    <t>Dashboard de Riesgos Laborales y Costos</t>
  </si>
  <si>
    <t>Total Accidentes</t>
  </si>
  <si>
    <t>Días Perdidos</t>
  </si>
  <si>
    <t>Costo Total</t>
  </si>
  <si>
    <t>Índice Accidentes (%)</t>
  </si>
  <si>
    <t>Costo Promedio</t>
  </si>
  <si>
    <t>El sector con mayor costo por siniestralidad es el de Producción, lo que indica la imperiosa necesidad de implementar controles preventivos más seguidos.</t>
  </si>
  <si>
    <t>abr</t>
  </si>
  <si>
    <t>may</t>
  </si>
  <si>
    <t>jun</t>
  </si>
  <si>
    <t>2026</t>
  </si>
  <si>
    <t>Peligro</t>
  </si>
  <si>
    <t>Probabilidad</t>
  </si>
  <si>
    <t>Consecuencia</t>
  </si>
  <si>
    <t>Nivel_Riesgo</t>
  </si>
  <si>
    <t>Clasificación</t>
  </si>
  <si>
    <t>Máquina sin protección</t>
  </si>
  <si>
    <t>Caída de objetos</t>
  </si>
  <si>
    <t>Estrés laboral</t>
  </si>
  <si>
    <t>Enfermedad laboral</t>
  </si>
  <si>
    <t>Sustancia química</t>
  </si>
  <si>
    <t>Tipo</t>
  </si>
  <si>
    <t>Cantidad</t>
  </si>
  <si>
    <t>Tolerable</t>
  </si>
  <si>
    <t>Intolerable</t>
  </si>
  <si>
    <t>La mayoría de los riesgos identificados, se concentran en niveles tolerables y moderados. Aunque, se detecta la presencia de riesgos importantes e intolerables que requieren intervención inmediata.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</si>
</sst>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5"/>
      <color theme="1"/>
      <name val="Arial"/>
      <family val="2"/>
    </font>
    <font>
      <b/>
      <u val="singleAccounting"/>
      <sz val="17"/>
      <color theme="1"/>
      <name val="Calibri"/>
      <family val="2"/>
      <scheme val="minor"/>
    </font>
    <font>
      <b/>
      <u/>
      <sz val="15"/>
      <color theme="1"/>
      <name val="Arial"/>
      <family val="2"/>
    </font>
    <font>
      <b/>
      <sz val="16"/>
      <name val="Calibri"/>
    </font>
    <font>
      <b/>
      <sz val="11"/>
      <name val="Calibri"/>
    </font>
    <font>
      <sz val="13.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/>
    <xf numFmtId="44" fontId="3" fillId="0" borderId="1" xfId="1" applyFont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0" fontId="8" fillId="0" borderId="0" xfId="0" applyFont="1"/>
    <xf numFmtId="1" fontId="0" fillId="0" borderId="1" xfId="0" applyNumberFormat="1" applyBorder="1"/>
    <xf numFmtId="9" fontId="1" fillId="0" borderId="0" xfId="2" applyAlignment="1">
      <alignment horizontal="right" wrapText="1"/>
    </xf>
    <xf numFmtId="0" fontId="0" fillId="0" borderId="0" xfId="0" applyAlignment="1">
      <alignment horizontal="left" inden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5" fillId="0" borderId="0" xfId="0" applyFont="1" applyAlignment="1">
      <alignment horizontal="center"/>
    </xf>
    <xf numFmtId="0" fontId="0" fillId="0" borderId="0" xfId="0"/>
    <xf numFmtId="0" fontId="0" fillId="0" borderId="1" xfId="0" applyBorder="1"/>
    <xf numFmtId="44" fontId="4" fillId="0" borderId="1" xfId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0" xfId="0" applyFont="1"/>
  </cellXfs>
  <cellStyles count="3">
    <cellStyle name="Moneda" xfId="1" builtinId="4"/>
    <cellStyle name="Normal" xfId="0" builtinId="0"/>
    <cellStyle name="Porcentaje" xfId="2" builtinId="5"/>
  </cellStyles>
  <dxfs count="50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 outline="0"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 outline="0"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pivotSource>
    <c:name>[Dashboard_Pro.xlsx]Hoja5!TablaDinámica1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latin typeface="Arial" panose="020B0604020202020204" pitchFamily="34" charset="0"/>
                <a:cs typeface="Arial" panose="020B0604020202020204" pitchFamily="34" charset="0"/>
              </a:rPr>
              <a:t>FRECUENCIA</a:t>
            </a:r>
            <a:r>
              <a:rPr lang="en-US" sz="1500" b="1" baseline="0">
                <a:latin typeface="Arial" panose="020B0604020202020204" pitchFamily="34" charset="0"/>
                <a:cs typeface="Arial" panose="020B0604020202020204" pitchFamily="34" charset="0"/>
              </a:rPr>
              <a:t> DE SINIESTRALIDAD POR SECTOR OPERATIVO</a:t>
            </a:r>
            <a:endParaRPr lang="en-US" sz="15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Hoja5!$A$4:$A$11</c:f>
              <c:strCache>
                <c:ptCount val="7"/>
                <c:pt idx="0">
                  <c:v>Depto. Mant.</c:v>
                </c:pt>
                <c:pt idx="1">
                  <c:v>Producción</c:v>
                </c:pt>
                <c:pt idx="2">
                  <c:v>Depto. HyS.</c:v>
                </c:pt>
                <c:pt idx="3">
                  <c:v>Administración</c:v>
                </c:pt>
                <c:pt idx="4">
                  <c:v>Depósito</c:v>
                </c:pt>
                <c:pt idx="5">
                  <c:v>Depto. Contable</c:v>
                </c:pt>
                <c:pt idx="6">
                  <c:v>Depto. RRHH.</c:v>
                </c:pt>
              </c:strCache>
            </c:strRef>
          </c:cat>
          <c:val>
            <c:numRef>
              <c:f>Hoja5!$B$4:$B$11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7-4864-B625-13D7F727B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11904"/>
        <c:axId val="145814784"/>
      </c:barChart>
      <c:catAx>
        <c:axId val="14581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814784"/>
        <c:crosses val="autoZero"/>
        <c:auto val="1"/>
        <c:lblAlgn val="ctr"/>
        <c:lblOffset val="100"/>
        <c:noMultiLvlLbl val="0"/>
      </c:catAx>
      <c:valAx>
        <c:axId val="1458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58119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pivotSource>
    <c:name>[Dashboard_Pro.xlsx]Hoja3!TablaDinámica2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latin typeface="Arial" panose="020B0604020202020204" pitchFamily="34" charset="0"/>
                <a:cs typeface="Arial" panose="020B0604020202020204" pitchFamily="34" charset="0"/>
              </a:rPr>
              <a:t>ANALISIS DE COSTOS DE RIESGOS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8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11"/>
        <c:spPr>
          <a:solidFill>
            <a:schemeClr val="accent3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12"/>
        <c:spPr>
          <a:solidFill>
            <a:schemeClr val="accent4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13"/>
        <c:spPr>
          <a:solidFill>
            <a:schemeClr val="accent5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  <a:prstDash val="solid"/>
          </a:ln>
          <a:sp3d contourW="25400"/>
        </c:spPr>
      </c:pivotFmt>
    </c:pivotFmts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3.0555555555555551E-2"/>
          <c:y val="0.26328484981044042"/>
          <c:w val="0.72674475065616795"/>
          <c:h val="0.68578922426363376"/>
        </c:manualLayout>
      </c:layout>
      <c:pie3DChart>
        <c:varyColors val="1"/>
        <c:ser>
          <c:idx val="0"/>
          <c:order val="0"/>
          <c:tx>
            <c:strRef>
              <c:f>Hoja3!$B$1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D1DE-404B-BFE9-25F5EEF5C8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D1DE-404B-BFE9-25F5EEF5C8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5-D1DE-404B-BFE9-25F5EEF5C8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7-D1DE-404B-BFE9-25F5EEF5C8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9-D1DE-404B-BFE9-25F5EEF5C81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D1DE-404B-BFE9-25F5EEF5C815}"/>
              </c:ext>
            </c:extLst>
          </c:dPt>
          <c:cat>
            <c:strRef>
              <c:f>Hoja3!$A$2:$A$7</c:f>
              <c:strCache>
                <c:ptCount val="5"/>
                <c:pt idx="0">
                  <c:v>R. Ergonómico</c:v>
                </c:pt>
                <c:pt idx="1">
                  <c:v>R. Físico</c:v>
                </c:pt>
                <c:pt idx="2">
                  <c:v>R. Físicos</c:v>
                </c:pt>
                <c:pt idx="3">
                  <c:v>R. Mecánico</c:v>
                </c:pt>
                <c:pt idx="4">
                  <c:v>R. Psicosocial</c:v>
                </c:pt>
              </c:strCache>
            </c:strRef>
          </c:cat>
          <c:val>
            <c:numRef>
              <c:f>Hoja3!$B$2:$B$7</c:f>
              <c:numCache>
                <c:formatCode>General</c:formatCode>
                <c:ptCount val="5"/>
                <c:pt idx="0">
                  <c:v>650000</c:v>
                </c:pt>
                <c:pt idx="1">
                  <c:v>1550000</c:v>
                </c:pt>
                <c:pt idx="2">
                  <c:v>500000</c:v>
                </c:pt>
                <c:pt idx="3">
                  <c:v>50000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DE-404B-BFE9-25F5EEF5C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[Dashboard_Pro.xlsx]Hoja5!TablaDinámica1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500" b="1" u="sng">
                <a:latin typeface="Arial" panose="020B0604020202020204" pitchFamily="34" charset="0"/>
                <a:cs typeface="Arial" panose="020B0604020202020204" pitchFamily="34" charset="0"/>
              </a:rPr>
              <a:t>COSTOS</a:t>
            </a:r>
            <a:r>
              <a:rPr lang="es-AR" sz="1500" b="1" u="sng" baseline="0">
                <a:latin typeface="Arial" panose="020B0604020202020204" pitchFamily="34" charset="0"/>
                <a:cs typeface="Arial" panose="020B0604020202020204" pitchFamily="34" charset="0"/>
              </a:rPr>
              <a:t> POR SECTOR</a:t>
            </a:r>
            <a:endParaRPr lang="es-AR" sz="1500" b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0354855643044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Hoja5!$A$4:$A$11</c:f>
              <c:strCache>
                <c:ptCount val="7"/>
                <c:pt idx="0">
                  <c:v>Depto. Mant.</c:v>
                </c:pt>
                <c:pt idx="1">
                  <c:v>Producción</c:v>
                </c:pt>
                <c:pt idx="2">
                  <c:v>Depto. HyS.</c:v>
                </c:pt>
                <c:pt idx="3">
                  <c:v>Administración</c:v>
                </c:pt>
                <c:pt idx="4">
                  <c:v>Depósito</c:v>
                </c:pt>
                <c:pt idx="5">
                  <c:v>Depto. Contable</c:v>
                </c:pt>
                <c:pt idx="6">
                  <c:v>Depto. RRHH.</c:v>
                </c:pt>
              </c:strCache>
            </c:strRef>
          </c:cat>
          <c:val>
            <c:numRef>
              <c:f>Hoja5!$B$4:$B$11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5-40CF-8E0F-1C703907A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061519"/>
        <c:axId val="1425031279"/>
      </c:barChart>
      <c:catAx>
        <c:axId val="142506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5031279"/>
        <c:crosses val="autoZero"/>
        <c:auto val="1"/>
        <c:lblAlgn val="ctr"/>
        <c:lblOffset val="100"/>
        <c:noMultiLvlLbl val="0"/>
      </c:catAx>
      <c:valAx>
        <c:axId val="142503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2506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[Dashboard_Pro.xlsx]Hoja3!TablaDinámica3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700" b="1" i="0" u="sng" strike="noStrike" baseline="0">
                <a:latin typeface="Arial" panose="020B0604020202020204" pitchFamily="34" charset="0"/>
                <a:cs typeface="Arial" panose="020B0604020202020204" pitchFamily="34" charset="0"/>
              </a:rPr>
              <a:t>TENDENCIA MENSUAL DE ACCIDENTES</a:t>
            </a:r>
            <a:endParaRPr lang="en-US" sz="1700" b="1" u="sng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Hoja3!$D$9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Hoja3!$C$10:$C$14</c:f>
              <c:multiLvlStrCache>
                <c:ptCount val="3"/>
                <c:lvl>
                  <c:pt idx="0">
                    <c:v>abr</c:v>
                  </c:pt>
                  <c:pt idx="1">
                    <c:v>may</c:v>
                  </c:pt>
                  <c:pt idx="2">
                    <c:v>jun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Hoja3!$D$10:$D$14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0-457C-A1D3-E9D82ABBD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269455"/>
        <c:axId val="1046272815"/>
      </c:lineChart>
      <c:catAx>
        <c:axId val="104626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46272815"/>
        <c:crosses val="autoZero"/>
        <c:auto val="1"/>
        <c:lblAlgn val="ctr"/>
        <c:lblOffset val="100"/>
        <c:noMultiLvlLbl val="0"/>
      </c:catAx>
      <c:valAx>
        <c:axId val="104627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46269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Distribución de Riesgos por Nivel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Matriz_de_Riesgos!$B$9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Matriz_de_Riesgos!$A$10:$A$13</c:f>
              <c:strCache>
                <c:ptCount val="4"/>
                <c:pt idx="0">
                  <c:v>Tolerable</c:v>
                </c:pt>
                <c:pt idx="1">
                  <c:v>Moderado</c:v>
                </c:pt>
                <c:pt idx="2">
                  <c:v>Importante</c:v>
                </c:pt>
                <c:pt idx="3">
                  <c:v>Intolerable</c:v>
                </c:pt>
              </c:strCache>
            </c:strRef>
          </c:cat>
          <c:val>
            <c:numRef>
              <c:f>Matriz_de_Riesgos!$B$10:$B$13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8-492C-ABB0-87A7BCE55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306911"/>
        <c:axId val="937295391"/>
      </c:barChart>
      <c:catAx>
        <c:axId val="93730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7295391"/>
        <c:crosses val="autoZero"/>
        <c:auto val="1"/>
        <c:lblAlgn val="ctr"/>
        <c:lblOffset val="100"/>
        <c:noMultiLvlLbl val="0"/>
      </c:catAx>
      <c:valAx>
        <c:axId val="93729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3730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5</xdr:row>
      <xdr:rowOff>9525</xdr:rowOff>
    </xdr:from>
    <xdr:to>
      <xdr:col>8</xdr:col>
      <xdr:colOff>323850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314325</xdr:colOff>
      <xdr:row>5</xdr:row>
      <xdr:rowOff>0</xdr:rowOff>
    </xdr:from>
    <xdr:to>
      <xdr:col>14</xdr:col>
      <xdr:colOff>314325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</xdr:row>
      <xdr:rowOff>9525</xdr:rowOff>
    </xdr:from>
    <xdr:to>
      <xdr:col>2</xdr:col>
      <xdr:colOff>304800</xdr:colOff>
      <xdr:row>18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o_Riesgo">
              <a:extLst>
                <a:ext uri="{FF2B5EF4-FFF2-40B4-BE49-F238E27FC236}">
                  <a16:creationId xmlns:a16="http://schemas.microsoft.com/office/drawing/2014/main" id="{A2DCAD68-4337-4A6A-9C73-E5AC328F38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Ries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239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3505200</xdr:colOff>
      <xdr:row>7</xdr:row>
      <xdr:rowOff>180975</xdr:rowOff>
    </xdr:from>
    <xdr:to>
      <xdr:col>8</xdr:col>
      <xdr:colOff>104775</xdr:colOff>
      <xdr:row>22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B69ADE-9FDA-446F-AB6C-338523421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7</xdr:row>
      <xdr:rowOff>180975</xdr:rowOff>
    </xdr:from>
    <xdr:to>
      <xdr:col>16</xdr:col>
      <xdr:colOff>228600</xdr:colOff>
      <xdr:row>22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36D10E-B820-44C5-8D39-217CBEC5D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185737</xdr:rowOff>
    </xdr:from>
    <xdr:to>
      <xdr:col>9</xdr:col>
      <xdr:colOff>0</xdr:colOff>
      <xdr:row>22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0D41043-D1A9-0E13-7B29-CDA0381B2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Dashboard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PC" refreshedDate="46138.116170833331" createdVersion="8" refreshedVersion="8" minRefreshableVersion="3" recordCount="15" xr:uid="{00000000-000A-0000-FFFF-FFFF05000000}">
  <cacheSource type="worksheet">
    <worksheetSource name="DatosSeguridad"/>
  </cacheSource>
  <cacheFields count="12">
    <cacheField name="ID" numFmtId="0">
      <sharedItems containsSemiMixedTypes="0" containsString="0" containsNumber="1" containsInteger="1" minValue="1" maxValue="15"/>
    </cacheField>
    <cacheField name="Fecha" numFmtId="14">
      <sharedItems containsSemiMixedTypes="0" containsNonDate="0" containsDate="1" containsString="0" minDate="2026-04-24T00:00:00" maxDate="2026-06-23T00:00:00" count="12">
        <d v="2026-04-24T00:00:00"/>
        <d v="2026-04-25T00:00:00"/>
        <d v="2026-05-05T00:00:00"/>
        <d v="2026-05-17T00:00:00"/>
        <d v="2026-05-21T00:00:00"/>
        <d v="2026-05-26T00:00:00"/>
        <d v="2026-05-30T00:00:00"/>
        <d v="2026-06-01T00:00:00"/>
        <d v="2026-06-05T00:00:00"/>
        <d v="2026-06-10T00:00:00"/>
        <d v="2026-06-13T00:00:00"/>
        <d v="2026-06-22T00:00:00"/>
      </sharedItems>
      <fieldGroup par="11"/>
    </cacheField>
    <cacheField name="Sector" numFmtId="0">
      <sharedItems count="7">
        <s v="Administración"/>
        <s v="Producción"/>
        <s v="Depósito"/>
        <s v="Depto. Mant."/>
        <s v="Depto. HyS."/>
        <s v="Depto. RRHH."/>
        <s v="Depto. Contable"/>
      </sharedItems>
    </cacheField>
    <cacheField name="Tipo_Riesgo" numFmtId="0">
      <sharedItems count="6">
        <s v="R. Psicosocial"/>
        <s v="R. Físicos"/>
        <s v="R. Mecánico"/>
        <s v="R. Ergonómico"/>
        <s v="R. Físico"/>
        <s v="R. Químico"/>
      </sharedItems>
    </cacheField>
    <cacheField name="Nivel_Riesgos" numFmtId="0">
      <sharedItems/>
    </cacheField>
    <cacheField name="Accidentes (Sí/No)" numFmtId="0">
      <sharedItems/>
    </cacheField>
    <cacheField name="Tipo_Lesion" numFmtId="0">
      <sharedItems/>
    </cacheField>
    <cacheField name="Dias_Perdidos" numFmtId="0">
      <sharedItems containsMixedTypes="1" containsNumber="1" containsInteger="1" minValue="0" maxValue="0"/>
    </cacheField>
    <cacheField name="Costos" numFmtId="0">
      <sharedItems containsSemiMixedTypes="0" containsString="0" containsNumber="1" containsInteger="1" minValue="0" maxValue="750000"/>
    </cacheField>
    <cacheField name="Gravedad" numFmtId="0">
      <sharedItems/>
    </cacheField>
    <cacheField name="Meses (Fecha)" numFmtId="0" databaseField="0">
      <fieldGroup base="1">
        <rangePr groupBy="months" startDate="2026-04-24T00:00:00" endDate="2026-06-23T00:00:00"/>
        <groupItems count="14">
          <s v="&lt;24/4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3/6/2026"/>
        </groupItems>
      </fieldGroup>
    </cacheField>
    <cacheField name="Años (Fecha)" numFmtId="0" databaseField="0">
      <fieldGroup base="1">
        <rangePr groupBy="years" startDate="2026-04-24T00:00:00" endDate="2026-06-23T00:00:00"/>
        <groupItems count="3">
          <s v="&lt;24/4/2026"/>
          <s v="2026"/>
          <s v="&gt;23/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PC" refreshedDate="46138.116170833331" createdVersion="8" refreshedVersion="8" minRefreshableVersion="3" recordCount="15" xr:uid="{29FBE1A2-B101-4BCC-AB18-7107CFE2E10B}">
  <cacheSource type="worksheet">
    <worksheetSource name="DatosSeguridad" r:id="rId2"/>
  </cacheSource>
  <cacheFields count="10">
    <cacheField name="ID" numFmtId="0">
      <sharedItems containsSemiMixedTypes="0" containsString="0" containsNumber="1" containsInteger="1" minValue="1" maxValue="15"/>
    </cacheField>
    <cacheField name="Fecha" numFmtId="14">
      <sharedItems containsSemiMixedTypes="0" containsNonDate="0" containsDate="1" containsString="0" minDate="2026-04-24T00:00:00" maxDate="2026-06-23T00:00:00"/>
    </cacheField>
    <cacheField name="Sector" numFmtId="0">
      <sharedItems count="7">
        <s v="Administración"/>
        <s v="Producción"/>
        <s v="Depósito"/>
        <s v="Depto. Mant."/>
        <s v="Depto. HyS."/>
        <s v="Depto. RRHH."/>
        <s v="Depto. Contable"/>
      </sharedItems>
    </cacheField>
    <cacheField name="Tipo_Riesgo" numFmtId="0">
      <sharedItems count="6">
        <s v="R. Psicosocial"/>
        <s v="R. Físicos"/>
        <s v="R. Mecánico"/>
        <s v="R. Ergonómico"/>
        <s v="R. Físico"/>
        <s v="R. Químico"/>
      </sharedItems>
    </cacheField>
    <cacheField name="Nivel_Riesgos" numFmtId="0">
      <sharedItems/>
    </cacheField>
    <cacheField name="Accidentes (Sí/No)" numFmtId="0">
      <sharedItems/>
    </cacheField>
    <cacheField name="Tipo_Lesion" numFmtId="0">
      <sharedItems/>
    </cacheField>
    <cacheField name="Dias_Perdidos" numFmtId="0">
      <sharedItems containsMixedTypes="1" containsNumber="1" containsInteger="1" minValue="0" maxValue="0"/>
    </cacheField>
    <cacheField name="Costos" numFmtId="0">
      <sharedItems containsSemiMixedTypes="0" containsString="0" containsNumber="1" containsInteger="1" minValue="0" maxValue="750000"/>
    </cacheField>
    <cacheField name="Gravedad" numFmtId="0">
      <sharedItems/>
    </cacheField>
  </cacheFields>
  <extLst>
    <ext xmlns:x14="http://schemas.microsoft.com/office/spreadsheetml/2009/9/main" uri="{725AE2AE-9491-48be-B2B4-4EB974FC3084}">
      <x14:pivotCacheDefinition pivotCacheId="1779532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x v="0"/>
    <x v="0"/>
    <s v="Trivial"/>
    <s v="No"/>
    <s v="S/L (Sin lesión)"/>
    <n v="0"/>
    <n v="0"/>
    <s v="Leve"/>
  </r>
  <r>
    <n v="2"/>
    <x v="1"/>
    <x v="1"/>
    <x v="1"/>
    <s v="Importante"/>
    <s v="Sí"/>
    <s v="Lesión Grave"/>
    <s v="9 meses"/>
    <n v="500000"/>
    <s v="Grave"/>
  </r>
  <r>
    <n v="3"/>
    <x v="0"/>
    <x v="2"/>
    <x v="2"/>
    <s v="Moderado"/>
    <s v="Sí"/>
    <s v="Lesión Moderada"/>
    <s v="1 día"/>
    <n v="50000"/>
    <s v="Moderada"/>
  </r>
  <r>
    <n v="4"/>
    <x v="0"/>
    <x v="3"/>
    <x v="3"/>
    <s v="Trivial"/>
    <s v="Sí"/>
    <s v="Lesión Leve"/>
    <s v="1 día"/>
    <n v="50000"/>
    <s v="Leve"/>
  </r>
  <r>
    <n v="5"/>
    <x v="1"/>
    <x v="4"/>
    <x v="4"/>
    <s v="Moderado"/>
    <s v="Sí"/>
    <s v="Lesión Moderada"/>
    <s v="1 Semana"/>
    <n v="350000"/>
    <s v="Moderada"/>
  </r>
  <r>
    <n v="6"/>
    <x v="2"/>
    <x v="3"/>
    <x v="4"/>
    <s v="Moderado"/>
    <s v="Sí"/>
    <s v="Lesión Moderada"/>
    <s v="5 días"/>
    <n v="250000"/>
    <s v="Moderada"/>
  </r>
  <r>
    <n v="7"/>
    <x v="3"/>
    <x v="1"/>
    <x v="4"/>
    <s v="Moderado"/>
    <s v="Sí"/>
    <s v="Lesión Moderada"/>
    <s v="1 Semana"/>
    <n v="350000"/>
    <s v="Moderada"/>
  </r>
  <r>
    <n v="8"/>
    <x v="4"/>
    <x v="2"/>
    <x v="4"/>
    <s v="Moderado"/>
    <s v="Sí"/>
    <s v="Lesión Moderada"/>
    <s v="1 Semana"/>
    <n v="350000"/>
    <s v="Moderada"/>
  </r>
  <r>
    <n v="9"/>
    <x v="5"/>
    <x v="4"/>
    <x v="3"/>
    <s v="Trivial"/>
    <s v="Sí"/>
    <s v="Lesión Triviala"/>
    <s v="5 días"/>
    <n v="250000"/>
    <s v="Leve"/>
  </r>
  <r>
    <n v="10"/>
    <x v="6"/>
    <x v="5"/>
    <x v="0"/>
    <s v="Trivial"/>
    <s v="No"/>
    <s v="Lesión Triviala"/>
    <n v="0"/>
    <n v="0"/>
    <s v="Leve"/>
  </r>
  <r>
    <n v="11"/>
    <x v="7"/>
    <x v="0"/>
    <x v="0"/>
    <s v="Trivial"/>
    <s v="No"/>
    <s v="Lesión Triviala"/>
    <n v="0"/>
    <n v="0"/>
    <s v="Leve"/>
  </r>
  <r>
    <n v="12"/>
    <x v="8"/>
    <x v="6"/>
    <x v="3"/>
    <s v="Moderado"/>
    <s v="Sí"/>
    <s v="Lesión Moderada"/>
    <s v="1 Semana"/>
    <n v="350000"/>
    <s v="Moderada"/>
  </r>
  <r>
    <n v="13"/>
    <x v="9"/>
    <x v="4"/>
    <x v="0"/>
    <s v="Trivial"/>
    <s v="No"/>
    <s v="Lesión Trivial"/>
    <n v="0"/>
    <n v="0"/>
    <s v="Leve"/>
  </r>
  <r>
    <n v="14"/>
    <x v="10"/>
    <x v="3"/>
    <x v="4"/>
    <s v="Moderada"/>
    <s v="Sí"/>
    <s v="Lesión Moderada"/>
    <s v="5 días"/>
    <n v="250000"/>
    <s v="Moderada"/>
  </r>
  <r>
    <n v="15"/>
    <x v="11"/>
    <x v="1"/>
    <x v="5"/>
    <s v="Moderada"/>
    <s v="Sí"/>
    <s v="Lesión Moderada"/>
    <s v="2 semanas"/>
    <n v="750000"/>
    <s v="Moderad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d v="2026-04-24T00:00:00"/>
    <x v="0"/>
    <x v="0"/>
    <s v="Trivial"/>
    <s v="No"/>
    <s v="S/L (Sin lesión)"/>
    <n v="0"/>
    <n v="0"/>
    <s v="Leve"/>
  </r>
  <r>
    <n v="2"/>
    <d v="2026-04-25T00:00:00"/>
    <x v="1"/>
    <x v="1"/>
    <s v="Importante"/>
    <s v="Sí"/>
    <s v="Lesión Grave"/>
    <s v="9 meses"/>
    <n v="500000"/>
    <s v="Grave"/>
  </r>
  <r>
    <n v="3"/>
    <d v="2026-04-24T00:00:00"/>
    <x v="2"/>
    <x v="2"/>
    <s v="Moderado"/>
    <s v="Sí"/>
    <s v="Lesión Moderada"/>
    <s v="1 día"/>
    <n v="50000"/>
    <s v="Moderada"/>
  </r>
  <r>
    <n v="4"/>
    <d v="2026-04-24T00:00:00"/>
    <x v="3"/>
    <x v="3"/>
    <s v="Trivial"/>
    <s v="Sí"/>
    <s v="Lesión Leve"/>
    <s v="1 día"/>
    <n v="50000"/>
    <s v="Leve"/>
  </r>
  <r>
    <n v="5"/>
    <d v="2026-04-25T00:00:00"/>
    <x v="4"/>
    <x v="4"/>
    <s v="Moderado"/>
    <s v="Sí"/>
    <s v="Lesión Moderada"/>
    <s v="1 Semana"/>
    <n v="350000"/>
    <s v="Moderada"/>
  </r>
  <r>
    <n v="6"/>
    <d v="2026-05-05T00:00:00"/>
    <x v="3"/>
    <x v="4"/>
    <s v="Moderado"/>
    <s v="Sí"/>
    <s v="Lesión Moderada"/>
    <s v="5 días"/>
    <n v="250000"/>
    <s v="Moderada"/>
  </r>
  <r>
    <n v="7"/>
    <d v="2026-05-17T00:00:00"/>
    <x v="1"/>
    <x v="4"/>
    <s v="Moderado"/>
    <s v="Sí"/>
    <s v="Lesión Moderada"/>
    <s v="1 Semana"/>
    <n v="350000"/>
    <s v="Moderada"/>
  </r>
  <r>
    <n v="8"/>
    <d v="2026-05-21T00:00:00"/>
    <x v="2"/>
    <x v="4"/>
    <s v="Moderado"/>
    <s v="Sí"/>
    <s v="Lesión Moderada"/>
    <s v="1 Semana"/>
    <n v="350000"/>
    <s v="Moderada"/>
  </r>
  <r>
    <n v="9"/>
    <d v="2026-05-26T00:00:00"/>
    <x v="4"/>
    <x v="3"/>
    <s v="Trivial"/>
    <s v="Sí"/>
    <s v="Lesión Triviala"/>
    <s v="5 días"/>
    <n v="250000"/>
    <s v="Leve"/>
  </r>
  <r>
    <n v="10"/>
    <d v="2026-05-30T00:00:00"/>
    <x v="5"/>
    <x v="0"/>
    <s v="Trivial"/>
    <s v="No"/>
    <s v="Lesión Triviala"/>
    <n v="0"/>
    <n v="0"/>
    <s v="Leve"/>
  </r>
  <r>
    <n v="11"/>
    <d v="2026-06-01T00:00:00"/>
    <x v="0"/>
    <x v="0"/>
    <s v="Trivial"/>
    <s v="No"/>
    <s v="Lesión Triviala"/>
    <n v="0"/>
    <n v="0"/>
    <s v="Leve"/>
  </r>
  <r>
    <n v="12"/>
    <d v="2026-06-05T00:00:00"/>
    <x v="6"/>
    <x v="3"/>
    <s v="Moderado"/>
    <s v="Sí"/>
    <s v="Lesión Moderada"/>
    <s v="1 Semana"/>
    <n v="350000"/>
    <s v="Moderada"/>
  </r>
  <r>
    <n v="13"/>
    <d v="2026-06-10T00:00:00"/>
    <x v="4"/>
    <x v="0"/>
    <s v="Trivial"/>
    <s v="No"/>
    <s v="Lesión Trivial"/>
    <n v="0"/>
    <n v="0"/>
    <s v="Leve"/>
  </r>
  <r>
    <n v="14"/>
    <d v="2026-06-13T00:00:00"/>
    <x v="3"/>
    <x v="4"/>
    <s v="Moderada"/>
    <s v="Sí"/>
    <s v="Lesión Moderada"/>
    <s v="5 días"/>
    <n v="250000"/>
    <s v="Moderada"/>
  </r>
  <r>
    <n v="15"/>
    <d v="2026-06-22T00:00:00"/>
    <x v="1"/>
    <x v="5"/>
    <s v="Moderada"/>
    <s v="Sí"/>
    <s v="Lesión Moderada"/>
    <s v="2 semanas"/>
    <n v="750000"/>
    <s v="Moderad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3:B11" firstHeaderRow="1" firstDataRow="1" firstDataCol="1"/>
  <pivotFields count="12">
    <pivotField dataField="1"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descending">
      <items count="8">
        <item x="0"/>
        <item x="2"/>
        <item x="6"/>
        <item x="4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3"/>
        <item x="4"/>
        <item x="1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8">
    <i>
      <x v="4"/>
    </i>
    <i>
      <x v="6"/>
    </i>
    <i>
      <x v="3"/>
    </i>
    <i>
      <x/>
    </i>
    <i>
      <x v="1"/>
    </i>
    <i>
      <x v="2"/>
    </i>
    <i>
      <x v="5"/>
    </i>
    <i t="grand">
      <x/>
    </i>
  </rowItems>
  <colItems count="1">
    <i/>
  </colItems>
  <dataFields count="1">
    <dataField name="Cuenta de ID" fld="0" subtotal="count" baseField="2" baseItem="0"/>
  </dataFields>
  <chartFormats count="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12"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7">
        <item x="3"/>
        <item x="4"/>
        <item x="1"/>
        <item x="2"/>
        <item x="0"/>
        <item h="1"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ostos" fld="8" baseField="0" baseItem="0"/>
  </dataFields>
  <formats count="5">
    <format dxfId="19">
      <pivotArea grandRow="1" outline="0" collapsedLevelsAreSubtotals="1" fieldPosition="0"/>
    </format>
    <format dxfId="18">
      <pivotArea collapsedLevelsAreSubtotals="1" fieldPosition="0">
        <references count="1">
          <reference field="3" count="1">
            <x v="0"/>
          </reference>
        </references>
      </pivotArea>
    </format>
    <format dxfId="17">
      <pivotArea collapsedLevelsAreSubtotals="1" fieldPosition="0">
        <references count="1">
          <reference field="3" count="1">
            <x v="1"/>
          </reference>
        </references>
      </pivotArea>
    </format>
    <format dxfId="16">
      <pivotArea collapsedLevelsAreSubtotals="1" fieldPosition="0">
        <references count="1">
          <reference field="3" count="1">
            <x v="2"/>
          </reference>
        </references>
      </pivotArea>
    </format>
    <format dxfId="15">
      <pivotArea collapsedLevelsAreSubtotals="1" fieldPosition="0">
        <references count="1">
          <reference field="3" count="1">
            <x v="3"/>
          </reference>
        </references>
      </pivotArea>
    </format>
  </format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BC502-E3D8-4B85-A1E4-C862AD970F3E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C9:D14" firstHeaderRow="1" firstDataRow="1" firstDataCol="1"/>
  <pivotFields count="12">
    <pivotField dataField="1"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1"/>
    <field x="10"/>
  </rowFields>
  <rowItems count="5">
    <i>
      <x v="1"/>
    </i>
    <i r="1">
      <x v="4"/>
    </i>
    <i r="1">
      <x v="5"/>
    </i>
    <i r="1">
      <x v="6"/>
    </i>
    <i t="grand">
      <x/>
    </i>
  </rowItems>
  <colItems count="1">
    <i/>
  </colItems>
  <dataFields count="1">
    <dataField name="Cuenta de ID" fld="0" subtotal="count" baseField="10" baseItem="5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Riesgo1" xr10:uid="{A5F7724E-65BB-4812-A9F3-9288D8DAC788}" sourceName="Tipo_Riesgo">
  <data>
    <tabular pivotCacheId="177953260">
      <items count="6">
        <i x="3" s="1"/>
        <i x="4" s="1"/>
        <i x="1" s="1"/>
        <i x="2" s="1"/>
        <i x="0" s="1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_Riesgo" xr10:uid="{AFD3AB78-39D4-417C-8832-C796D86078C0}" cache="SegmentaciónDeDatos_Tipo_Riesgo1" caption="Tipo_Riesg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Seguridad" displayName="DatosSeguridad" ref="A2:J17" totalsRowShown="0" headerRowDxfId="49" dataDxfId="47" headerRowBorderDxfId="48" tableBorderDxfId="46" totalsRowBorderDxfId="45">
  <autoFilter ref="A2:J17" xr:uid="{00000000-0009-0000-0100-000001000000}"/>
  <tableColumns count="10">
    <tableColumn id="1" xr3:uid="{00000000-0010-0000-0000-000001000000}" name="ID" dataDxfId="44"/>
    <tableColumn id="2" xr3:uid="{00000000-0010-0000-0000-000002000000}" name="Fecha" dataDxfId="43"/>
    <tableColumn id="3" xr3:uid="{00000000-0010-0000-0000-000003000000}" name="Sector" dataDxfId="42"/>
    <tableColumn id="4" xr3:uid="{00000000-0010-0000-0000-000004000000}" name="Tipo_Riesgo" dataDxfId="41"/>
    <tableColumn id="5" xr3:uid="{00000000-0010-0000-0000-000005000000}" name="Nivel_Riesgos" dataDxfId="40"/>
    <tableColumn id="6" xr3:uid="{00000000-0010-0000-0000-000006000000}" name="Accidentes (Sí/No)" dataDxfId="39"/>
    <tableColumn id="7" xr3:uid="{00000000-0010-0000-0000-000007000000}" name="Tipo_Lesion" dataDxfId="38"/>
    <tableColumn id="8" xr3:uid="{00000000-0010-0000-0000-000008000000}" name="Dias_Perdidos" dataDxfId="37"/>
    <tableColumn id="9" xr3:uid="{00000000-0010-0000-0000-000009000000}" name="Costos" dataDxfId="36"/>
    <tableColumn id="10" xr3:uid="{00000000-0010-0000-0000-00000A000000}" name="Gravedad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osSeguridad5" displayName="DatosSeguridad5" ref="A2:J17" totalsRowShown="0" headerRowDxfId="34" dataDxfId="32" headerRowBorderDxfId="33" tableBorderDxfId="31" totalsRowBorderDxfId="30">
  <autoFilter ref="A2:J17" xr:uid="{00000000-0009-0000-0100-000002000000}"/>
  <tableColumns count="10">
    <tableColumn id="1" xr3:uid="{00000000-0010-0000-0100-000001000000}" name="ID" dataDxfId="29"/>
    <tableColumn id="2" xr3:uid="{00000000-0010-0000-0100-000002000000}" name="Fecha" dataDxfId="28"/>
    <tableColumn id="3" xr3:uid="{00000000-0010-0000-0100-000003000000}" name="Sector" dataDxfId="27"/>
    <tableColumn id="4" xr3:uid="{00000000-0010-0000-0100-000004000000}" name="Tipo_Riesgo" dataDxfId="26"/>
    <tableColumn id="5" xr3:uid="{00000000-0010-0000-0100-000005000000}" name="Nivel_Riesgos" dataDxfId="25"/>
    <tableColumn id="6" xr3:uid="{00000000-0010-0000-0100-000006000000}" name="Accidentes (Sí/No)" dataDxfId="24"/>
    <tableColumn id="7" xr3:uid="{00000000-0010-0000-0100-000007000000}" name="Tipo_Lesion" dataDxfId="23"/>
    <tableColumn id="8" xr3:uid="{00000000-0010-0000-0100-000008000000}" name="Dias_Perdidos" dataDxfId="22"/>
    <tableColumn id="9" xr3:uid="{00000000-0010-0000-0100-000009000000}" name="Costos" dataDxfId="21"/>
    <tableColumn id="10" xr3:uid="{00000000-0010-0000-0100-00000A000000}" name="Gravedad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1"/>
  <sheetViews>
    <sheetView showGridLines="0" showRowColHeaders="0" workbookViewId="0">
      <selection activeCell="B4" sqref="B4"/>
    </sheetView>
  </sheetViews>
  <sheetFormatPr baseColWidth="10" defaultRowHeight="15" x14ac:dyDescent="0.25"/>
  <cols>
    <col min="1" max="1" width="17.5703125" bestFit="1" customWidth="1"/>
    <col min="2" max="2" width="12.28515625" bestFit="1" customWidth="1"/>
  </cols>
  <sheetData>
    <row r="3" spans="1:2" x14ac:dyDescent="0.25">
      <c r="A3" s="12" t="s">
        <v>44</v>
      </c>
      <c r="B3" t="s">
        <v>45</v>
      </c>
    </row>
    <row r="4" spans="1:2" x14ac:dyDescent="0.25">
      <c r="A4" s="13" t="s">
        <v>30</v>
      </c>
      <c r="B4">
        <v>3</v>
      </c>
    </row>
    <row r="5" spans="1:2" x14ac:dyDescent="0.25">
      <c r="A5" s="13" t="s">
        <v>17</v>
      </c>
      <c r="B5">
        <v>3</v>
      </c>
    </row>
    <row r="6" spans="1:2" x14ac:dyDescent="0.25">
      <c r="A6" s="13" t="s">
        <v>33</v>
      </c>
      <c r="B6">
        <v>3</v>
      </c>
    </row>
    <row r="7" spans="1:2" x14ac:dyDescent="0.25">
      <c r="A7" s="13" t="s">
        <v>11</v>
      </c>
      <c r="B7">
        <v>2</v>
      </c>
    </row>
    <row r="8" spans="1:2" x14ac:dyDescent="0.25">
      <c r="A8" s="13" t="s">
        <v>24</v>
      </c>
      <c r="B8">
        <v>2</v>
      </c>
    </row>
    <row r="9" spans="1:2" x14ac:dyDescent="0.25">
      <c r="A9" s="13" t="s">
        <v>40</v>
      </c>
      <c r="B9">
        <v>1</v>
      </c>
    </row>
    <row r="10" spans="1:2" x14ac:dyDescent="0.25">
      <c r="A10" s="13" t="s">
        <v>39</v>
      </c>
      <c r="B10">
        <v>1</v>
      </c>
    </row>
    <row r="11" spans="1:2" x14ac:dyDescent="0.25">
      <c r="A11" s="13" t="s">
        <v>46</v>
      </c>
      <c r="B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showGridLines="0" showRowColHeaders="0" topLeftCell="A3" workbookViewId="0">
      <selection activeCell="A3" sqref="A3"/>
    </sheetView>
  </sheetViews>
  <sheetFormatPr baseColWidth="10" defaultRowHeight="15" x14ac:dyDescent="0.25"/>
  <cols>
    <col min="3" max="3" width="15.42578125" bestFit="1" customWidth="1"/>
    <col min="4" max="4" width="14.7109375" bestFit="1" customWidth="1"/>
    <col min="5" max="5" width="15.5703125" customWidth="1"/>
    <col min="6" max="6" width="19.7109375" customWidth="1"/>
    <col min="7" max="7" width="16.28515625" bestFit="1" customWidth="1"/>
    <col min="8" max="8" width="25.28515625" bestFit="1" customWidth="1"/>
    <col min="10" max="10" width="11.7109375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1" t="s">
        <v>10</v>
      </c>
    </row>
    <row r="3" spans="1:10" x14ac:dyDescent="0.25">
      <c r="A3" s="3">
        <v>1</v>
      </c>
      <c r="B3" s="4">
        <v>46136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0</v>
      </c>
      <c r="I3" s="1">
        <v>0</v>
      </c>
      <c r="J3" s="2" t="s">
        <v>16</v>
      </c>
    </row>
    <row r="4" spans="1:10" x14ac:dyDescent="0.25">
      <c r="A4" s="3">
        <v>2</v>
      </c>
      <c r="B4" s="4">
        <v>46137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>
        <v>500000</v>
      </c>
      <c r="J4" s="2" t="s">
        <v>23</v>
      </c>
    </row>
    <row r="5" spans="1:10" x14ac:dyDescent="0.25">
      <c r="A5" s="3">
        <v>3</v>
      </c>
      <c r="B5" s="4">
        <v>46136</v>
      </c>
      <c r="C5" s="1" t="s">
        <v>24</v>
      </c>
      <c r="D5" s="1" t="s">
        <v>25</v>
      </c>
      <c r="E5" s="1" t="s">
        <v>26</v>
      </c>
      <c r="F5" s="1" t="s">
        <v>20</v>
      </c>
      <c r="G5" s="1" t="s">
        <v>27</v>
      </c>
      <c r="H5" s="1" t="s">
        <v>28</v>
      </c>
      <c r="I5" s="1">
        <v>50000</v>
      </c>
      <c r="J5" s="2" t="s">
        <v>29</v>
      </c>
    </row>
    <row r="6" spans="1:10" x14ac:dyDescent="0.25">
      <c r="A6" s="3">
        <v>4</v>
      </c>
      <c r="B6" s="4">
        <v>46136</v>
      </c>
      <c r="C6" s="1" t="s">
        <v>30</v>
      </c>
      <c r="D6" s="1" t="s">
        <v>31</v>
      </c>
      <c r="E6" s="1" t="s">
        <v>13</v>
      </c>
      <c r="F6" s="1" t="s">
        <v>20</v>
      </c>
      <c r="G6" s="1" t="s">
        <v>32</v>
      </c>
      <c r="H6" s="1" t="s">
        <v>28</v>
      </c>
      <c r="I6" s="1">
        <v>50000</v>
      </c>
      <c r="J6" s="2" t="s">
        <v>16</v>
      </c>
    </row>
    <row r="7" spans="1:10" x14ac:dyDescent="0.25">
      <c r="A7" s="3">
        <v>5</v>
      </c>
      <c r="B7" s="4">
        <v>46137</v>
      </c>
      <c r="C7" s="1" t="s">
        <v>33</v>
      </c>
      <c r="D7" s="1" t="s">
        <v>34</v>
      </c>
      <c r="E7" s="1" t="s">
        <v>26</v>
      </c>
      <c r="F7" s="1" t="s">
        <v>20</v>
      </c>
      <c r="G7" s="1" t="s">
        <v>27</v>
      </c>
      <c r="H7" s="1" t="s">
        <v>35</v>
      </c>
      <c r="I7" s="1">
        <v>350000</v>
      </c>
      <c r="J7" s="2" t="s">
        <v>29</v>
      </c>
    </row>
    <row r="8" spans="1:10" x14ac:dyDescent="0.25">
      <c r="A8" s="3">
        <v>6</v>
      </c>
      <c r="B8" s="4">
        <v>46147</v>
      </c>
      <c r="C8" s="1" t="s">
        <v>30</v>
      </c>
      <c r="D8" s="1" t="s">
        <v>34</v>
      </c>
      <c r="E8" s="1" t="s">
        <v>26</v>
      </c>
      <c r="F8" s="1" t="s">
        <v>20</v>
      </c>
      <c r="G8" s="1" t="s">
        <v>27</v>
      </c>
      <c r="H8" s="1" t="s">
        <v>36</v>
      </c>
      <c r="I8" s="1">
        <v>250000</v>
      </c>
      <c r="J8" s="2" t="s">
        <v>29</v>
      </c>
    </row>
    <row r="9" spans="1:10" x14ac:dyDescent="0.25">
      <c r="A9" s="3">
        <v>7</v>
      </c>
      <c r="B9" s="4">
        <v>46159</v>
      </c>
      <c r="C9" s="1" t="s">
        <v>17</v>
      </c>
      <c r="D9" s="1" t="s">
        <v>34</v>
      </c>
      <c r="E9" s="1" t="s">
        <v>26</v>
      </c>
      <c r="F9" s="1" t="s">
        <v>20</v>
      </c>
      <c r="G9" s="1" t="s">
        <v>27</v>
      </c>
      <c r="H9" s="1" t="s">
        <v>37</v>
      </c>
      <c r="I9" s="1">
        <v>350000</v>
      </c>
      <c r="J9" s="2" t="s">
        <v>29</v>
      </c>
    </row>
    <row r="10" spans="1:10" x14ac:dyDescent="0.25">
      <c r="A10" s="3">
        <v>8</v>
      </c>
      <c r="B10" s="4">
        <v>46163</v>
      </c>
      <c r="C10" s="1" t="s">
        <v>24</v>
      </c>
      <c r="D10" s="1" t="s">
        <v>34</v>
      </c>
      <c r="E10" s="1" t="s">
        <v>26</v>
      </c>
      <c r="F10" s="1" t="s">
        <v>20</v>
      </c>
      <c r="G10" s="1" t="s">
        <v>27</v>
      </c>
      <c r="H10" s="1" t="s">
        <v>37</v>
      </c>
      <c r="I10" s="1">
        <v>350000</v>
      </c>
      <c r="J10" s="2" t="s">
        <v>29</v>
      </c>
    </row>
    <row r="11" spans="1:10" x14ac:dyDescent="0.25">
      <c r="A11" s="3">
        <v>9</v>
      </c>
      <c r="B11" s="4">
        <v>46168</v>
      </c>
      <c r="C11" s="1" t="s">
        <v>33</v>
      </c>
      <c r="D11" s="1" t="s">
        <v>31</v>
      </c>
      <c r="E11" s="1" t="s">
        <v>13</v>
      </c>
      <c r="F11" s="1" t="s">
        <v>20</v>
      </c>
      <c r="G11" s="1" t="s">
        <v>38</v>
      </c>
      <c r="H11" s="1" t="s">
        <v>36</v>
      </c>
      <c r="I11" s="1">
        <v>250000</v>
      </c>
      <c r="J11" s="2" t="s">
        <v>16</v>
      </c>
    </row>
    <row r="12" spans="1:10" x14ac:dyDescent="0.25">
      <c r="A12" s="3">
        <v>10</v>
      </c>
      <c r="B12" s="4">
        <v>46172</v>
      </c>
      <c r="C12" s="1" t="s">
        <v>39</v>
      </c>
      <c r="D12" s="1" t="s">
        <v>12</v>
      </c>
      <c r="E12" s="1" t="s">
        <v>13</v>
      </c>
      <c r="F12" s="1" t="s">
        <v>14</v>
      </c>
      <c r="G12" s="1" t="s">
        <v>38</v>
      </c>
      <c r="H12" s="1">
        <v>0</v>
      </c>
      <c r="I12" s="1">
        <v>0</v>
      </c>
      <c r="J12" s="2" t="s">
        <v>16</v>
      </c>
    </row>
    <row r="13" spans="1:10" x14ac:dyDescent="0.25">
      <c r="A13" s="3">
        <v>11</v>
      </c>
      <c r="B13" s="4">
        <v>46174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38</v>
      </c>
      <c r="H13" s="1">
        <v>0</v>
      </c>
      <c r="I13" s="1">
        <v>0</v>
      </c>
      <c r="J13" s="2" t="s">
        <v>16</v>
      </c>
    </row>
    <row r="14" spans="1:10" x14ac:dyDescent="0.25">
      <c r="A14" s="3">
        <v>12</v>
      </c>
      <c r="B14" s="4">
        <v>46178</v>
      </c>
      <c r="C14" s="1" t="s">
        <v>40</v>
      </c>
      <c r="D14" s="1" t="s">
        <v>31</v>
      </c>
      <c r="E14" s="1" t="s">
        <v>26</v>
      </c>
      <c r="F14" s="1" t="s">
        <v>20</v>
      </c>
      <c r="G14" s="1" t="s">
        <v>27</v>
      </c>
      <c r="H14" s="1" t="s">
        <v>37</v>
      </c>
      <c r="I14" s="1">
        <v>350000</v>
      </c>
      <c r="J14" s="2" t="s">
        <v>29</v>
      </c>
    </row>
    <row r="15" spans="1:10" x14ac:dyDescent="0.25">
      <c r="A15" s="3">
        <v>13</v>
      </c>
      <c r="B15" s="4">
        <v>46183</v>
      </c>
      <c r="C15" s="1" t="s">
        <v>33</v>
      </c>
      <c r="D15" s="1" t="s">
        <v>12</v>
      </c>
      <c r="E15" s="1" t="s">
        <v>13</v>
      </c>
      <c r="F15" s="1" t="s">
        <v>14</v>
      </c>
      <c r="G15" s="1" t="s">
        <v>41</v>
      </c>
      <c r="H15" s="1">
        <v>0</v>
      </c>
      <c r="I15" s="1">
        <v>0</v>
      </c>
      <c r="J15" s="2" t="s">
        <v>16</v>
      </c>
    </row>
    <row r="16" spans="1:10" x14ac:dyDescent="0.25">
      <c r="A16" s="3">
        <v>14</v>
      </c>
      <c r="B16" s="4">
        <v>46186</v>
      </c>
      <c r="C16" s="1" t="s">
        <v>30</v>
      </c>
      <c r="D16" s="1" t="s">
        <v>34</v>
      </c>
      <c r="E16" s="1" t="s">
        <v>29</v>
      </c>
      <c r="F16" s="1" t="s">
        <v>20</v>
      </c>
      <c r="G16" s="1" t="s">
        <v>27</v>
      </c>
      <c r="H16" s="1" t="s">
        <v>36</v>
      </c>
      <c r="I16" s="1">
        <v>250000</v>
      </c>
      <c r="J16" s="2" t="s">
        <v>29</v>
      </c>
    </row>
    <row r="17" spans="1:10" x14ac:dyDescent="0.25">
      <c r="A17" s="5">
        <v>15</v>
      </c>
      <c r="B17" s="6">
        <v>46195</v>
      </c>
      <c r="C17" s="7" t="s">
        <v>17</v>
      </c>
      <c r="D17" s="7" t="s">
        <v>42</v>
      </c>
      <c r="E17" s="7" t="s">
        <v>29</v>
      </c>
      <c r="F17" s="7" t="s">
        <v>20</v>
      </c>
      <c r="G17" s="7" t="s">
        <v>27</v>
      </c>
      <c r="H17" s="7" t="s">
        <v>43</v>
      </c>
      <c r="I17" s="7">
        <v>750000</v>
      </c>
      <c r="J17" s="8" t="s">
        <v>29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showRowColHeaders="0" workbookViewId="0">
      <selection sqref="A1:J17"/>
    </sheetView>
  </sheetViews>
  <sheetFormatPr baseColWidth="10" defaultRowHeight="15" x14ac:dyDescent="0.25"/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1" t="s">
        <v>10</v>
      </c>
    </row>
    <row r="3" spans="1:10" x14ac:dyDescent="0.25">
      <c r="A3" s="3">
        <v>1</v>
      </c>
      <c r="B3" s="4">
        <v>46136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0</v>
      </c>
      <c r="I3" s="1">
        <v>0</v>
      </c>
      <c r="J3" s="2" t="s">
        <v>16</v>
      </c>
    </row>
    <row r="4" spans="1:10" x14ac:dyDescent="0.25">
      <c r="A4" s="3">
        <v>2</v>
      </c>
      <c r="B4" s="4">
        <v>46137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>
        <v>500000</v>
      </c>
      <c r="J4" s="2" t="s">
        <v>23</v>
      </c>
    </row>
    <row r="5" spans="1:10" x14ac:dyDescent="0.25">
      <c r="A5" s="3">
        <v>3</v>
      </c>
      <c r="B5" s="4">
        <v>46136</v>
      </c>
      <c r="C5" s="1" t="s">
        <v>24</v>
      </c>
      <c r="D5" s="1" t="s">
        <v>25</v>
      </c>
      <c r="E5" s="1" t="s">
        <v>26</v>
      </c>
      <c r="F5" s="1" t="s">
        <v>20</v>
      </c>
      <c r="G5" s="1" t="s">
        <v>27</v>
      </c>
      <c r="H5" s="1" t="s">
        <v>28</v>
      </c>
      <c r="I5" s="1">
        <v>50000</v>
      </c>
      <c r="J5" s="2" t="s">
        <v>29</v>
      </c>
    </row>
    <row r="6" spans="1:10" x14ac:dyDescent="0.25">
      <c r="A6" s="3">
        <v>4</v>
      </c>
      <c r="B6" s="4">
        <v>46136</v>
      </c>
      <c r="C6" s="1" t="s">
        <v>30</v>
      </c>
      <c r="D6" s="1" t="s">
        <v>31</v>
      </c>
      <c r="E6" s="1" t="s">
        <v>13</v>
      </c>
      <c r="F6" s="1" t="s">
        <v>20</v>
      </c>
      <c r="G6" s="1" t="s">
        <v>32</v>
      </c>
      <c r="H6" s="1" t="s">
        <v>28</v>
      </c>
      <c r="I6" s="1">
        <v>50000</v>
      </c>
      <c r="J6" s="2" t="s">
        <v>16</v>
      </c>
    </row>
    <row r="7" spans="1:10" x14ac:dyDescent="0.25">
      <c r="A7" s="3">
        <v>5</v>
      </c>
      <c r="B7" s="4">
        <v>46137</v>
      </c>
      <c r="C7" s="1" t="s">
        <v>33</v>
      </c>
      <c r="D7" s="1" t="s">
        <v>34</v>
      </c>
      <c r="E7" s="1" t="s">
        <v>26</v>
      </c>
      <c r="F7" s="1" t="s">
        <v>20</v>
      </c>
      <c r="G7" s="1" t="s">
        <v>27</v>
      </c>
      <c r="H7" s="1" t="s">
        <v>35</v>
      </c>
      <c r="I7" s="1">
        <v>350000</v>
      </c>
      <c r="J7" s="2" t="s">
        <v>29</v>
      </c>
    </row>
    <row r="8" spans="1:10" x14ac:dyDescent="0.25">
      <c r="A8" s="3">
        <v>6</v>
      </c>
      <c r="B8" s="4">
        <v>46147</v>
      </c>
      <c r="C8" s="1" t="s">
        <v>30</v>
      </c>
      <c r="D8" s="1" t="s">
        <v>34</v>
      </c>
      <c r="E8" s="1" t="s">
        <v>26</v>
      </c>
      <c r="F8" s="1" t="s">
        <v>20</v>
      </c>
      <c r="G8" s="1" t="s">
        <v>27</v>
      </c>
      <c r="H8" s="1" t="s">
        <v>36</v>
      </c>
      <c r="I8" s="1">
        <v>250000</v>
      </c>
      <c r="J8" s="2" t="s">
        <v>29</v>
      </c>
    </row>
    <row r="9" spans="1:10" x14ac:dyDescent="0.25">
      <c r="A9" s="3">
        <v>7</v>
      </c>
      <c r="B9" s="4">
        <v>46159</v>
      </c>
      <c r="C9" s="1" t="s">
        <v>17</v>
      </c>
      <c r="D9" s="1" t="s">
        <v>34</v>
      </c>
      <c r="E9" s="1" t="s">
        <v>26</v>
      </c>
      <c r="F9" s="1" t="s">
        <v>20</v>
      </c>
      <c r="G9" s="1" t="s">
        <v>27</v>
      </c>
      <c r="H9" s="1" t="s">
        <v>37</v>
      </c>
      <c r="I9" s="1">
        <v>350000</v>
      </c>
      <c r="J9" s="2" t="s">
        <v>29</v>
      </c>
    </row>
    <row r="10" spans="1:10" x14ac:dyDescent="0.25">
      <c r="A10" s="3">
        <v>8</v>
      </c>
      <c r="B10" s="4">
        <v>46163</v>
      </c>
      <c r="C10" s="1" t="s">
        <v>24</v>
      </c>
      <c r="D10" s="1" t="s">
        <v>34</v>
      </c>
      <c r="E10" s="1" t="s">
        <v>26</v>
      </c>
      <c r="F10" s="1" t="s">
        <v>20</v>
      </c>
      <c r="G10" s="1" t="s">
        <v>27</v>
      </c>
      <c r="H10" s="1" t="s">
        <v>37</v>
      </c>
      <c r="I10" s="1">
        <v>350000</v>
      </c>
      <c r="J10" s="2" t="s">
        <v>29</v>
      </c>
    </row>
    <row r="11" spans="1:10" x14ac:dyDescent="0.25">
      <c r="A11" s="3">
        <v>9</v>
      </c>
      <c r="B11" s="4">
        <v>46168</v>
      </c>
      <c r="C11" s="1" t="s">
        <v>33</v>
      </c>
      <c r="D11" s="1" t="s">
        <v>31</v>
      </c>
      <c r="E11" s="1" t="s">
        <v>13</v>
      </c>
      <c r="F11" s="1" t="s">
        <v>20</v>
      </c>
      <c r="G11" s="1" t="s">
        <v>38</v>
      </c>
      <c r="H11" s="1" t="s">
        <v>36</v>
      </c>
      <c r="I11" s="1">
        <v>250000</v>
      </c>
      <c r="J11" s="2" t="s">
        <v>16</v>
      </c>
    </row>
    <row r="12" spans="1:10" x14ac:dyDescent="0.25">
      <c r="A12" s="3">
        <v>10</v>
      </c>
      <c r="B12" s="4">
        <v>46172</v>
      </c>
      <c r="C12" s="1" t="s">
        <v>39</v>
      </c>
      <c r="D12" s="1" t="s">
        <v>12</v>
      </c>
      <c r="E12" s="1" t="s">
        <v>13</v>
      </c>
      <c r="F12" s="1" t="s">
        <v>14</v>
      </c>
      <c r="G12" s="1" t="s">
        <v>38</v>
      </c>
      <c r="H12" s="1">
        <v>0</v>
      </c>
      <c r="I12" s="1">
        <v>0</v>
      </c>
      <c r="J12" s="2" t="s">
        <v>16</v>
      </c>
    </row>
    <row r="13" spans="1:10" x14ac:dyDescent="0.25">
      <c r="A13" s="3">
        <v>11</v>
      </c>
      <c r="B13" s="4">
        <v>46174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38</v>
      </c>
      <c r="H13" s="1">
        <v>0</v>
      </c>
      <c r="I13" s="1">
        <v>0</v>
      </c>
      <c r="J13" s="2" t="s">
        <v>16</v>
      </c>
    </row>
    <row r="14" spans="1:10" x14ac:dyDescent="0.25">
      <c r="A14" s="3">
        <v>12</v>
      </c>
      <c r="B14" s="4">
        <v>46178</v>
      </c>
      <c r="C14" s="1" t="s">
        <v>40</v>
      </c>
      <c r="D14" s="1" t="s">
        <v>31</v>
      </c>
      <c r="E14" s="1" t="s">
        <v>26</v>
      </c>
      <c r="F14" s="1" t="s">
        <v>20</v>
      </c>
      <c r="G14" s="1" t="s">
        <v>27</v>
      </c>
      <c r="H14" s="1" t="s">
        <v>37</v>
      </c>
      <c r="I14" s="1">
        <v>350000</v>
      </c>
      <c r="J14" s="2" t="s">
        <v>29</v>
      </c>
    </row>
    <row r="15" spans="1:10" x14ac:dyDescent="0.25">
      <c r="A15" s="3">
        <v>13</v>
      </c>
      <c r="B15" s="4">
        <v>46183</v>
      </c>
      <c r="C15" s="1" t="s">
        <v>33</v>
      </c>
      <c r="D15" s="1" t="s">
        <v>12</v>
      </c>
      <c r="E15" s="1" t="s">
        <v>13</v>
      </c>
      <c r="F15" s="1" t="s">
        <v>14</v>
      </c>
      <c r="G15" s="1" t="s">
        <v>41</v>
      </c>
      <c r="H15" s="1">
        <v>0</v>
      </c>
      <c r="I15" s="1">
        <v>0</v>
      </c>
      <c r="J15" s="2" t="s">
        <v>16</v>
      </c>
    </row>
    <row r="16" spans="1:10" x14ac:dyDescent="0.25">
      <c r="A16" s="3">
        <v>14</v>
      </c>
      <c r="B16" s="4">
        <v>46186</v>
      </c>
      <c r="C16" s="1" t="s">
        <v>30</v>
      </c>
      <c r="D16" s="1" t="s">
        <v>34</v>
      </c>
      <c r="E16" s="1" t="s">
        <v>29</v>
      </c>
      <c r="F16" s="1" t="s">
        <v>20</v>
      </c>
      <c r="G16" s="1" t="s">
        <v>27</v>
      </c>
      <c r="H16" s="1" t="s">
        <v>36</v>
      </c>
      <c r="I16" s="1">
        <v>250000</v>
      </c>
      <c r="J16" s="2" t="s">
        <v>29</v>
      </c>
    </row>
    <row r="17" spans="1:10" x14ac:dyDescent="0.25">
      <c r="A17" s="5">
        <v>15</v>
      </c>
      <c r="B17" s="6">
        <v>46195</v>
      </c>
      <c r="C17" s="7" t="s">
        <v>17</v>
      </c>
      <c r="D17" s="7" t="s">
        <v>42</v>
      </c>
      <c r="E17" s="7" t="s">
        <v>29</v>
      </c>
      <c r="F17" s="7" t="s">
        <v>20</v>
      </c>
      <c r="G17" s="7" t="s">
        <v>27</v>
      </c>
      <c r="H17" s="7" t="s">
        <v>43</v>
      </c>
      <c r="I17" s="7">
        <v>750000</v>
      </c>
      <c r="J17" s="8" t="s">
        <v>29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showGridLines="0" showRowColHeaders="0" workbookViewId="0">
      <selection activeCell="C12" sqref="C12"/>
    </sheetView>
  </sheetViews>
  <sheetFormatPr baseColWidth="10" defaultRowHeight="15" x14ac:dyDescent="0.25"/>
  <cols>
    <col min="1" max="1" width="17.5703125" bestFit="1" customWidth="1"/>
    <col min="2" max="2" width="14.85546875" bestFit="1" customWidth="1"/>
    <col min="3" max="3" width="17.5703125" bestFit="1" customWidth="1"/>
    <col min="4" max="4" width="12.28515625" bestFit="1" customWidth="1"/>
    <col min="5" max="5" width="11.85546875" bestFit="1" customWidth="1"/>
  </cols>
  <sheetData>
    <row r="1" spans="1:4" x14ac:dyDescent="0.25">
      <c r="A1" s="12" t="s">
        <v>44</v>
      </c>
      <c r="B1" t="s">
        <v>47</v>
      </c>
    </row>
    <row r="2" spans="1:4" x14ac:dyDescent="0.25">
      <c r="A2" s="13" t="s">
        <v>31</v>
      </c>
      <c r="B2" s="14">
        <v>650000</v>
      </c>
    </row>
    <row r="3" spans="1:4" x14ac:dyDescent="0.25">
      <c r="A3" s="13" t="s">
        <v>34</v>
      </c>
      <c r="B3" s="14">
        <v>1550000</v>
      </c>
    </row>
    <row r="4" spans="1:4" x14ac:dyDescent="0.25">
      <c r="A4" s="13" t="s">
        <v>18</v>
      </c>
      <c r="B4" s="14">
        <v>500000</v>
      </c>
    </row>
    <row r="5" spans="1:4" x14ac:dyDescent="0.25">
      <c r="A5" s="13" t="s">
        <v>25</v>
      </c>
      <c r="B5" s="14">
        <v>50000</v>
      </c>
    </row>
    <row r="6" spans="1:4" x14ac:dyDescent="0.25">
      <c r="A6" s="13" t="s">
        <v>12</v>
      </c>
      <c r="B6">
        <v>0</v>
      </c>
    </row>
    <row r="7" spans="1:4" x14ac:dyDescent="0.25">
      <c r="A7" s="13" t="s">
        <v>46</v>
      </c>
      <c r="B7" s="14">
        <v>2750000</v>
      </c>
    </row>
    <row r="9" spans="1:4" x14ac:dyDescent="0.25">
      <c r="C9" s="12" t="s">
        <v>44</v>
      </c>
      <c r="D9" t="s">
        <v>45</v>
      </c>
    </row>
    <row r="10" spans="1:4" x14ac:dyDescent="0.25">
      <c r="C10" s="13" t="s">
        <v>60</v>
      </c>
      <c r="D10">
        <v>15</v>
      </c>
    </row>
    <row r="11" spans="1:4" x14ac:dyDescent="0.25">
      <c r="C11" s="23" t="s">
        <v>57</v>
      </c>
      <c r="D11">
        <v>5</v>
      </c>
    </row>
    <row r="12" spans="1:4" x14ac:dyDescent="0.25">
      <c r="C12" s="23" t="s">
        <v>58</v>
      </c>
      <c r="D12">
        <v>5</v>
      </c>
    </row>
    <row r="13" spans="1:4" x14ac:dyDescent="0.25">
      <c r="C13" s="23" t="s">
        <v>59</v>
      </c>
      <c r="D13">
        <v>5</v>
      </c>
    </row>
    <row r="14" spans="1:4" x14ac:dyDescent="0.25">
      <c r="C14" s="13" t="s">
        <v>46</v>
      </c>
      <c r="D14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J4"/>
  <sheetViews>
    <sheetView showGridLines="0" showRowColHeaders="0" workbookViewId="0">
      <selection activeCell="B14" sqref="B14"/>
    </sheetView>
  </sheetViews>
  <sheetFormatPr baseColWidth="10" defaultRowHeight="15" x14ac:dyDescent="0.25"/>
  <cols>
    <col min="5" max="5" width="24" bestFit="1" customWidth="1"/>
  </cols>
  <sheetData>
    <row r="1" spans="4:10" ht="19.5" customHeight="1" x14ac:dyDescent="0.3">
      <c r="D1" s="28" t="s">
        <v>48</v>
      </c>
      <c r="E1" s="29"/>
      <c r="F1" s="29"/>
      <c r="G1" s="29"/>
      <c r="H1" s="29"/>
      <c r="I1" s="29"/>
      <c r="J1" s="29"/>
    </row>
    <row r="2" spans="4:10" ht="22.5" customHeight="1" x14ac:dyDescent="0.35">
      <c r="E2" s="15"/>
      <c r="F2" s="16"/>
      <c r="G2" s="16"/>
    </row>
    <row r="3" spans="4:10" ht="27" customHeight="1" x14ac:dyDescent="0.65">
      <c r="E3" s="31" t="s">
        <v>49</v>
      </c>
      <c r="F3" s="26"/>
      <c r="G3" s="27"/>
    </row>
    <row r="4" spans="4:10" ht="19.5" customHeight="1" x14ac:dyDescent="0.3">
      <c r="E4" s="17">
        <f>GETPIVOTDATA("Costos",Hoja3!$A$1)</f>
        <v>2750000</v>
      </c>
      <c r="F4" s="30"/>
      <c r="G4" s="27"/>
    </row>
  </sheetData>
  <mergeCells count="3">
    <mergeCell ref="D1:J1"/>
    <mergeCell ref="F4:G4"/>
    <mergeCell ref="E3:G3"/>
  </mergeCells>
  <pageMargins left="0.7" right="0.7" top="0.75" bottom="0.75" header="0.3" footer="0.3"/>
  <pageSetup paperSize="9"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showGridLines="0" showRowColHeaders="0" workbookViewId="0">
      <selection activeCell="B7" sqref="B7"/>
    </sheetView>
  </sheetViews>
  <sheetFormatPr baseColWidth="10" defaultColWidth="9.140625" defaultRowHeight="15" x14ac:dyDescent="0.25"/>
  <cols>
    <col min="1" max="1" width="52.7109375" bestFit="1" customWidth="1"/>
    <col min="2" max="2" width="12" bestFit="1" customWidth="1"/>
  </cols>
  <sheetData>
    <row r="1" spans="1:2" ht="21" x14ac:dyDescent="0.35">
      <c r="A1" s="24" t="s">
        <v>50</v>
      </c>
      <c r="B1" s="24"/>
    </row>
    <row r="2" spans="1:2" x14ac:dyDescent="0.25">
      <c r="A2" s="18"/>
      <c r="B2" s="18"/>
    </row>
    <row r="3" spans="1:2" x14ac:dyDescent="0.25">
      <c r="A3" s="19" t="s">
        <v>51</v>
      </c>
      <c r="B3" s="18">
        <f>COUNTIF(Hoja1!F:F,"Sí")</f>
        <v>11</v>
      </c>
    </row>
    <row r="4" spans="1:2" x14ac:dyDescent="0.25">
      <c r="A4" s="19" t="s">
        <v>52</v>
      </c>
      <c r="B4" s="18">
        <f>SUM(Hoja1!H:H)</f>
        <v>0</v>
      </c>
    </row>
    <row r="5" spans="1:2" x14ac:dyDescent="0.25">
      <c r="A5" s="19" t="s">
        <v>53</v>
      </c>
      <c r="B5" s="18">
        <f>SUM(Hoja1!I:I)</f>
        <v>3500000</v>
      </c>
    </row>
    <row r="6" spans="1:2" x14ac:dyDescent="0.25">
      <c r="A6" s="19" t="s">
        <v>54</v>
      </c>
      <c r="B6" s="22">
        <f>(COUNTIF(Hoja1!F:F,"Sí")/(COUNTA(Hoja1!A:A)-1))*100</f>
        <v>68.75</v>
      </c>
    </row>
    <row r="7" spans="1:2" x14ac:dyDescent="0.25">
      <c r="A7" s="19" t="s">
        <v>55</v>
      </c>
      <c r="B7" s="21">
        <f>SUM(Hoja1!I:I)/COUNTIF(Hoja1!F:F,"Sí")</f>
        <v>318181.81818181818</v>
      </c>
    </row>
    <row r="24" spans="2:2" ht="17.25" x14ac:dyDescent="0.25">
      <c r="B24" s="20" t="s">
        <v>56</v>
      </c>
    </row>
  </sheetData>
  <mergeCells count="1">
    <mergeCell ref="A1:B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9B1D-8F8A-4C4B-9A62-FBFA34583E98}">
  <dimension ref="A1:R25"/>
  <sheetViews>
    <sheetView showGridLines="0" showRowColHeaders="0" tabSelected="1" workbookViewId="0">
      <selection activeCell="D25" sqref="D25"/>
    </sheetView>
  </sheetViews>
  <sheetFormatPr baseColWidth="10" defaultRowHeight="15" x14ac:dyDescent="0.25"/>
  <cols>
    <col min="2" max="2" width="14.42578125" bestFit="1" customWidth="1"/>
    <col min="3" max="3" width="21.85546875" bestFit="1" customWidth="1"/>
    <col min="4" max="4" width="13.28515625" customWidth="1"/>
    <col min="5" max="5" width="12.85546875" customWidth="1"/>
    <col min="6" max="6" width="13.7109375" customWidth="1"/>
    <col min="7" max="7" width="12.7109375" customWidth="1"/>
  </cols>
  <sheetData>
    <row r="1" spans="1:7" ht="30" x14ac:dyDescent="0.25">
      <c r="A1" s="32" t="s">
        <v>1</v>
      </c>
      <c r="B1" s="32" t="s">
        <v>3</v>
      </c>
      <c r="C1" s="32" t="s">
        <v>61</v>
      </c>
      <c r="D1" s="32" t="s">
        <v>62</v>
      </c>
      <c r="E1" s="32" t="s">
        <v>63</v>
      </c>
      <c r="F1" s="32" t="s">
        <v>64</v>
      </c>
      <c r="G1" s="32" t="s">
        <v>65</v>
      </c>
    </row>
    <row r="2" spans="1:7" x14ac:dyDescent="0.25">
      <c r="A2" s="1">
        <v>1</v>
      </c>
      <c r="B2" s="1" t="s">
        <v>17</v>
      </c>
      <c r="C2" s="1" t="s">
        <v>66</v>
      </c>
      <c r="D2" s="1">
        <v>1</v>
      </c>
      <c r="E2" s="1">
        <v>1</v>
      </c>
      <c r="F2" s="1">
        <f>D2*E2</f>
        <v>1</v>
      </c>
      <c r="G2" s="1" t="str">
        <f>IF(F2&lt;=8,"Tolerable",IF(F2&lt;=16,"Moderado",IF(F2&lt;=24,"Importante","Intolerable")))</f>
        <v>Tolerable</v>
      </c>
    </row>
    <row r="3" spans="1:7" x14ac:dyDescent="0.25">
      <c r="A3" s="1">
        <v>2</v>
      </c>
      <c r="B3" s="1" t="s">
        <v>24</v>
      </c>
      <c r="C3" s="1" t="s">
        <v>67</v>
      </c>
      <c r="D3" s="1">
        <v>2</v>
      </c>
      <c r="E3" s="1">
        <v>2</v>
      </c>
      <c r="F3" s="1">
        <f t="shared" ref="F3:F6" si="0">D3*E3</f>
        <v>4</v>
      </c>
      <c r="G3" s="1" t="str">
        <f t="shared" ref="G3:G6" si="1">IF(F3&lt;=8,"Tolerable",IF(F3&lt;=16,"Moderado",IF(F3&lt;=24,"Importante","Intolerable")))</f>
        <v>Tolerable</v>
      </c>
    </row>
    <row r="4" spans="1:7" x14ac:dyDescent="0.25">
      <c r="A4" s="1">
        <v>3</v>
      </c>
      <c r="B4" s="1" t="s">
        <v>11</v>
      </c>
      <c r="C4" s="1" t="s">
        <v>68</v>
      </c>
      <c r="D4" s="1">
        <v>3</v>
      </c>
      <c r="E4" s="1">
        <v>3</v>
      </c>
      <c r="F4" s="1">
        <f t="shared" si="0"/>
        <v>9</v>
      </c>
      <c r="G4" s="1" t="str">
        <f t="shared" si="1"/>
        <v>Moderado</v>
      </c>
    </row>
    <row r="5" spans="1:7" x14ac:dyDescent="0.25">
      <c r="A5" s="1">
        <v>4</v>
      </c>
      <c r="B5" s="1" t="s">
        <v>33</v>
      </c>
      <c r="C5" s="1" t="s">
        <v>69</v>
      </c>
      <c r="D5" s="1">
        <v>6</v>
      </c>
      <c r="E5" s="1">
        <v>4</v>
      </c>
      <c r="F5" s="1">
        <f t="shared" si="0"/>
        <v>24</v>
      </c>
      <c r="G5" s="1" t="str">
        <f>IF(F5&lt;=8,"Tolerable",IF(F5&lt;=16,"Moderado",IF(F5&lt;=24,"Importante","Intolerable")))</f>
        <v>Importante</v>
      </c>
    </row>
    <row r="6" spans="1:7" x14ac:dyDescent="0.25">
      <c r="A6" s="1">
        <v>5</v>
      </c>
      <c r="B6" s="1" t="s">
        <v>17</v>
      </c>
      <c r="C6" s="1" t="s">
        <v>70</v>
      </c>
      <c r="D6" s="1">
        <v>5</v>
      </c>
      <c r="E6" s="1">
        <v>5</v>
      </c>
      <c r="F6" s="1">
        <f t="shared" si="0"/>
        <v>25</v>
      </c>
      <c r="G6" s="33" t="str">
        <f>IF(F6&lt;=8,"Tolerable",IF(F6&lt;=16,"Moderado",IF(F6&lt;=24,"Importante","Intolerable")))</f>
        <v>Intolerable</v>
      </c>
    </row>
    <row r="9" spans="1:7" x14ac:dyDescent="0.25">
      <c r="A9" s="32" t="s">
        <v>71</v>
      </c>
      <c r="B9" s="32" t="s">
        <v>72</v>
      </c>
    </row>
    <row r="10" spans="1:7" x14ac:dyDescent="0.25">
      <c r="A10" s="34" t="s">
        <v>73</v>
      </c>
      <c r="B10" s="34">
        <f>COUNTIF(G:G,"Tolerable")</f>
        <v>2</v>
      </c>
    </row>
    <row r="11" spans="1:7" x14ac:dyDescent="0.25">
      <c r="A11" s="34" t="s">
        <v>26</v>
      </c>
      <c r="B11" s="34">
        <f>COUNTIF(G:G,"Moderado")</f>
        <v>1</v>
      </c>
    </row>
    <row r="12" spans="1:7" x14ac:dyDescent="0.25">
      <c r="A12" s="34" t="s">
        <v>19</v>
      </c>
      <c r="B12" s="34">
        <f>COUNTIF(G:G,"Importante")</f>
        <v>1</v>
      </c>
    </row>
    <row r="13" spans="1:7" x14ac:dyDescent="0.25">
      <c r="A13" s="35" t="s">
        <v>74</v>
      </c>
      <c r="B13" s="34">
        <f>COUNTIF(G:G,"Intolerable")</f>
        <v>1</v>
      </c>
    </row>
    <row r="25" spans="4:18" ht="16.5" x14ac:dyDescent="0.25">
      <c r="D25" s="36" t="s">
        <v>75</v>
      </c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</sheetData>
  <conditionalFormatting sqref="G2:G3">
    <cfRule type="colorScale" priority="11">
      <colorScale>
        <cfvo type="min"/>
        <cfvo type="max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6">
    <cfRule type="cellIs" dxfId="8" priority="6" operator="equal">
      <formula>"Intolerable"</formula>
    </cfRule>
    <cfRule type="cellIs" dxfId="7" priority="7" operator="equal">
      <formula>"Intolerable"</formula>
    </cfRule>
    <cfRule type="cellIs" dxfId="6" priority="8" operator="equal">
      <formula>"Moderado"</formula>
    </cfRule>
    <cfRule type="cellIs" dxfId="5" priority="9" operator="equal">
      <formula>"Tolerable"</formula>
    </cfRule>
    <cfRule type="colorScale" priority="10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G5">
    <cfRule type="cellIs" dxfId="4" priority="5" operator="equal">
      <formula>"Importante"</formula>
    </cfRule>
  </conditionalFormatting>
  <conditionalFormatting sqref="A10">
    <cfRule type="cellIs" dxfId="3" priority="4" operator="equal">
      <formula>"Tolerable"</formula>
    </cfRule>
  </conditionalFormatting>
  <conditionalFormatting sqref="A11">
    <cfRule type="cellIs" dxfId="2" priority="3" operator="equal">
      <formula>"Moderado"</formula>
    </cfRule>
  </conditionalFormatting>
  <conditionalFormatting sqref="A12">
    <cfRule type="cellIs" dxfId="1" priority="2" operator="equal">
      <formula>"Importante"</formula>
    </cfRule>
  </conditionalFormatting>
  <conditionalFormatting sqref="A13">
    <cfRule type="cellIs" dxfId="0" priority="1" operator="equal">
      <formula>"Intolerable"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Hoja5</vt:lpstr>
      <vt:lpstr>Hoja1</vt:lpstr>
      <vt:lpstr>Hoja2</vt:lpstr>
      <vt:lpstr>Hoja3</vt:lpstr>
      <vt:lpstr>Hoja4</vt:lpstr>
      <vt:lpstr>Dashboard_Pro</vt:lpstr>
      <vt:lpstr>Matriz_de_Riesgos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Angel</dc:creator>
  <cp:lastModifiedBy>Leonardo Angel</cp:lastModifiedBy>
  <dcterms:created xsi:type="dcterms:W3CDTF">2026-04-26T03:53:12Z</dcterms:created>
  <dcterms:modified xsi:type="dcterms:W3CDTF">2026-04-27T16:17:10Z</dcterms:modified>
</cp:coreProperties>
</file>